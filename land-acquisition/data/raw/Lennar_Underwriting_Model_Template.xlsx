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_Data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apping_Log" sheetId="3" state="visible" r:id="rId3"/>
    <sheet xmlns:r="http://schemas.openxmlformats.org/officeDocument/2006/relationships" name="Missing_Field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Filtered_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0000FF"/>
      <sz val="9"/>
    </font>
    <font>
      <name val="Arial"/>
      <i val="1"/>
      <color rgb="00888888"/>
      <sz val="8"/>
    </font>
    <font>
      <name val="Arial"/>
      <color rgb="00000000"/>
      <sz val="9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843C0C"/>
      </patternFill>
    </fill>
    <fill>
      <patternFill patternType="solid">
        <fgColor rgb="004472C4"/>
      </patternFill>
    </fill>
    <fill>
      <patternFill patternType="solid">
        <fgColor rgb="00595959"/>
      </patternFill>
    </fill>
    <fill>
      <patternFill patternType="solid">
        <fgColor rgb="00FFFFFF"/>
      </patternFill>
    </fill>
    <fill>
      <patternFill patternType="solid">
        <fgColor rgb="00FAFCFF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3" fillId="2" borderId="0" pivotButton="0" quotePrefix="0" xfId="0"/>
    <xf numFmtId="0" fontId="4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5" fillId="12" borderId="1" pivotButton="0" quotePrefix="0" xfId="0"/>
    <xf numFmtId="0" fontId="8" fillId="13" borderId="1" pivotButton="0" quotePrefix="0" xfId="0"/>
    <xf numFmtId="0" fontId="9" fillId="0" borderId="0" pivotButton="0" quotePrefix="0" xfId="0"/>
    <xf numFmtId="0" fontId="10" fillId="8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5" fillId="0" borderId="0" pivotButton="0" quotePrefix="0" xfId="0"/>
    <xf numFmtId="0" fontId="13" fillId="7" borderId="0" applyAlignment="1" pivotButton="0" quotePrefix="0" xfId="0">
      <alignment horizontal="center" vertical="center"/>
    </xf>
    <xf numFmtId="0" fontId="5" fillId="14" borderId="1" pivotButton="0" quotePrefix="0" xfId="0"/>
    <xf numFmtId="0" fontId="5" fillId="8" borderId="1" pivotButton="0" quotePrefix="0" xfId="0"/>
    <xf numFmtId="0" fontId="13" fillId="15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5" fillId="0" borderId="1" pivotButton="0" quotePrefix="0" xfId="0"/>
    <xf numFmtId="0" fontId="14" fillId="11" borderId="1" applyAlignment="1" pivotButton="0" quotePrefix="0" xfId="0">
      <alignment vertical="center"/>
    </xf>
    <xf numFmtId="0" fontId="15" fillId="0" borderId="1" pivotButton="0" quotePrefix="0" xfId="0"/>
    <xf numFmtId="0" fontId="13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5" customWidth="1" min="4" max="4"/>
    <col width="7" customWidth="1" min="5" max="5"/>
    <col width="18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7" customWidth="1" min="14" max="14"/>
    <col width="10" customWidth="1" min="15" max="15"/>
    <col width="10" customWidth="1" min="16" max="16"/>
    <col width="10" customWidth="1" min="17" max="17"/>
    <col width="8" customWidth="1" min="18" max="18"/>
    <col width="7" customWidth="1" min="19" max="19"/>
    <col width="6" customWidth="1" min="20" max="20"/>
    <col width="12" customWidth="1" min="21" max="21"/>
    <col width="11" customWidth="1" min="22" max="22"/>
    <col width="10" customWidth="1" min="23" max="23"/>
    <col width="8" customWidth="1" min="24" max="24"/>
    <col width="14" customWidth="1" min="25" max="25"/>
    <col width="14" customWidth="1" min="26" max="26"/>
    <col width="11" customWidth="1" min="27" max="27"/>
    <col width="9" customWidth="1" min="28" max="28"/>
    <col width="11" customWidth="1" min="29" max="29"/>
    <col width="13" customWidth="1" min="30" max="30"/>
    <col width="8" customWidth="1" min="31" max="31"/>
    <col width="22" customWidth="1" min="32" max="32"/>
  </cols>
  <sheetData>
    <row r="1" ht="28" customHeight="1">
      <c r="A1" s="1" t="inlineStr">
        <is>
          <t>LENNAR LAND ACQUISITION — COMPARABLE SALES DATA</t>
        </is>
      </c>
    </row>
    <row r="2" ht="14" customHeight="1">
      <c r="A2" s="2" t="inlineStr">
        <is>
          <t>Division: _______________</t>
        </is>
      </c>
      <c r="D2" s="2" t="inlineStr">
        <is>
          <t>Deal Name: _______________</t>
        </is>
      </c>
      <c r="G2" s="2" t="inlineStr">
        <is>
          <t>Analyst: _______________</t>
        </is>
      </c>
      <c r="J2" s="2" t="inlineStr">
        <is>
          <t>Date Pulled: _______________</t>
        </is>
      </c>
      <c r="M2" s="2" t="inlineStr">
        <is>
          <t>Market Area: _______________</t>
        </is>
      </c>
    </row>
    <row r="3" ht="14" customHeight="1">
      <c r="A3" s="3" t="inlineStr">
        <is>
          <t>PROPERTY IDENTIFICATION</t>
        </is>
      </c>
      <c r="G3" s="4" t="inlineStr">
        <is>
          <t>LOT</t>
        </is>
      </c>
      <c r="L3" s="5" t="inlineStr">
        <is>
          <t>HOME CHARACTERISTICS</t>
        </is>
      </c>
      <c r="U3" s="6" t="inlineStr">
        <is>
          <t>SALE DATA</t>
        </is>
      </c>
      <c r="Y3" s="7" t="inlineStr">
        <is>
          <t>BUILDER</t>
        </is>
      </c>
      <c r="AB3" s="8" t="inlineStr">
        <is>
          <t>COMP ANALYSIS</t>
        </is>
      </c>
    </row>
    <row r="4" ht="32" customHeight="1">
      <c r="A4" s="9" t="inlineStr">
        <is>
          <t>APN</t>
        </is>
      </c>
      <c r="B4" s="9" t="inlineStr">
        <is>
          <t>Street_Address</t>
        </is>
      </c>
      <c r="C4" s="9" t="inlineStr">
        <is>
          <t>City</t>
        </is>
      </c>
      <c r="D4" s="9" t="inlineStr">
        <is>
          <t>State</t>
        </is>
      </c>
      <c r="E4" s="9" t="inlineStr">
        <is>
          <t>Zip_Code</t>
        </is>
      </c>
      <c r="F4" s="9" t="inlineStr">
        <is>
          <t>Subdivision_Name</t>
        </is>
      </c>
      <c r="G4" s="10" t="inlineStr">
        <is>
          <t>Lot_Size_SF</t>
        </is>
      </c>
      <c r="H4" s="10" t="inlineStr">
        <is>
          <t>Lot_Width_Ft</t>
        </is>
      </c>
      <c r="I4" s="10" t="inlineStr">
        <is>
          <t>Corner_Lot</t>
        </is>
      </c>
      <c r="J4" s="10" t="inlineStr">
        <is>
          <t>Cul_De_Sac</t>
        </is>
      </c>
      <c r="K4" s="10" t="inlineStr">
        <is>
          <t>View</t>
        </is>
      </c>
      <c r="L4" s="11" t="inlineStr">
        <is>
          <t>Year_Built</t>
        </is>
      </c>
      <c r="M4" s="11" t="inlineStr">
        <is>
          <t>Living_Area_SF</t>
        </is>
      </c>
      <c r="N4" s="11" t="inlineStr">
        <is>
          <t>Bedrooms</t>
        </is>
      </c>
      <c r="O4" s="11" t="inlineStr">
        <is>
          <t>Bathrooms_Full</t>
        </is>
      </c>
      <c r="P4" s="11" t="inlineStr">
        <is>
          <t>Bathrooms_Half</t>
        </is>
      </c>
      <c r="Q4" s="11" t="inlineStr">
        <is>
          <t>Bathrooms_Total</t>
        </is>
      </c>
      <c r="R4" s="11" t="inlineStr">
        <is>
          <t>Garage_Spaces</t>
        </is>
      </c>
      <c r="S4" s="11" t="inlineStr">
        <is>
          <t>Stories</t>
        </is>
      </c>
      <c r="T4" s="11" t="inlineStr">
        <is>
          <t>Pool</t>
        </is>
      </c>
      <c r="U4" s="12" t="inlineStr">
        <is>
          <t>Sale_Price</t>
        </is>
      </c>
      <c r="V4" s="12" t="inlineStr">
        <is>
          <t>Sale_Date</t>
        </is>
      </c>
      <c r="W4" s="12" t="inlineStr">
        <is>
          <t>Sale_Type</t>
        </is>
      </c>
      <c r="X4" s="12" t="inlineStr">
        <is>
          <t>Days_On_Market</t>
        </is>
      </c>
      <c r="Y4" s="13" t="inlineStr">
        <is>
          <t>Builder_Name</t>
        </is>
      </c>
      <c r="Z4" s="13" t="inlineStr">
        <is>
          <t>Plan_Name</t>
        </is>
      </c>
      <c r="AA4" s="13" t="inlineStr">
        <is>
          <t>Product_Type</t>
        </is>
      </c>
      <c r="AB4" s="14" t="inlineStr">
        <is>
          <t>Price_Per_SF</t>
        </is>
      </c>
      <c r="AC4" s="14" t="inlineStr">
        <is>
          <t>Price_Per_Lot_SF</t>
        </is>
      </c>
      <c r="AD4" s="14" t="inlineStr">
        <is>
          <t>Distance_From_Subject_Miles</t>
        </is>
      </c>
      <c r="AE4" s="14" t="inlineStr">
        <is>
          <t>Comp_Rank</t>
        </is>
      </c>
      <c r="AF4" s="14" t="inlineStr">
        <is>
          <t>Adjustment_Notes</t>
        </is>
      </c>
    </row>
    <row r="5" ht="15" customHeight="1">
      <c r="A5" s="15" t="inlineStr"/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</row>
    <row r="6" ht="15" customHeight="1">
      <c r="A6" s="16" t="inlineStr"/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  <c r="AB6" s="16" t="inlineStr"/>
      <c r="AC6" s="16" t="inlineStr"/>
      <c r="AD6" s="16" t="inlineStr"/>
      <c r="AE6" s="16" t="inlineStr"/>
      <c r="AF6" s="16" t="inlineStr"/>
      <c r="AG6" s="16" t="inlineStr"/>
    </row>
    <row r="7" ht="15" customHeight="1">
      <c r="A7" s="15" t="inlineStr"/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</row>
    <row r="8" ht="15" customHeight="1">
      <c r="A8" s="16" t="inlineStr"/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6" t="inlineStr"/>
      <c r="AD8" s="16" t="inlineStr"/>
      <c r="AE8" s="16" t="inlineStr"/>
      <c r="AF8" s="16" t="inlineStr"/>
      <c r="AG8" s="16" t="inlineStr"/>
    </row>
    <row r="9" ht="15" customHeight="1">
      <c r="A9" s="15" t="inlineStr"/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</row>
    <row r="10" ht="15" customHeight="1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6" t="inlineStr"/>
      <c r="AD10" s="16" t="inlineStr"/>
      <c r="AE10" s="16" t="inlineStr"/>
      <c r="AF10" s="16" t="inlineStr"/>
      <c r="AG10" s="16" t="inlineStr"/>
    </row>
    <row r="11" ht="15" customHeight="1">
      <c r="A11" s="15" t="inlineStr"/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</row>
    <row r="12" ht="15" customHeight="1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6" t="inlineStr"/>
      <c r="AC12" s="16" t="inlineStr"/>
      <c r="AD12" s="16" t="inlineStr"/>
      <c r="AE12" s="16" t="inlineStr"/>
      <c r="AF12" s="16" t="inlineStr"/>
      <c r="AG12" s="16" t="inlineStr"/>
    </row>
    <row r="13" ht="15" customHeight="1">
      <c r="A13" s="15" t="inlineStr"/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</row>
    <row r="14" ht="15" customHeight="1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6" t="inlineStr"/>
      <c r="AC14" s="16" t="inlineStr"/>
      <c r="AD14" s="16" t="inlineStr"/>
      <c r="AE14" s="16" t="inlineStr"/>
      <c r="AF14" s="16" t="inlineStr"/>
      <c r="AG14" s="16" t="inlineStr"/>
    </row>
    <row r="15" ht="15" customHeight="1">
      <c r="A15" s="15" t="inlineStr"/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</row>
    <row r="16" ht="15" customHeight="1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6" t="inlineStr"/>
      <c r="U16" s="16" t="inlineStr"/>
      <c r="V16" s="16" t="inlineStr"/>
      <c r="W16" s="16" t="inlineStr"/>
      <c r="X16" s="16" t="inlineStr"/>
      <c r="Y16" s="16" t="inlineStr"/>
      <c r="Z16" s="16" t="inlineStr"/>
      <c r="AA16" s="16" t="inlineStr"/>
      <c r="AB16" s="16" t="inlineStr"/>
      <c r="AC16" s="16" t="inlineStr"/>
      <c r="AD16" s="16" t="inlineStr"/>
      <c r="AE16" s="16" t="inlineStr"/>
      <c r="AF16" s="16" t="inlineStr"/>
      <c r="AG16" s="16" t="inlineStr"/>
    </row>
    <row r="17" ht="15" customHeight="1">
      <c r="A17" s="15" t="inlineStr"/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</row>
    <row r="18" ht="15" customHeight="1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inlineStr"/>
      <c r="V18" s="16" t="inlineStr"/>
      <c r="W18" s="16" t="inlineStr"/>
      <c r="X18" s="16" t="inlineStr"/>
      <c r="Y18" s="16" t="inlineStr"/>
      <c r="Z18" s="16" t="inlineStr"/>
      <c r="AA18" s="16" t="inlineStr"/>
      <c r="AB18" s="16" t="inlineStr"/>
      <c r="AC18" s="16" t="inlineStr"/>
      <c r="AD18" s="16" t="inlineStr"/>
      <c r="AE18" s="16" t="inlineStr"/>
      <c r="AF18" s="16" t="inlineStr"/>
      <c r="AG18" s="16" t="inlineStr"/>
    </row>
    <row r="19" ht="15" customHeight="1">
      <c r="A19" s="15" t="inlineStr"/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</row>
    <row r="20" ht="6" customHeight="1"/>
    <row r="21" ht="18" customHeight="1">
      <c r="A21" s="17" t="inlineStr">
        <is>
          <t>SUMMARY STATS</t>
        </is>
      </c>
      <c r="D21" s="18" t="inlineStr">
        <is>
          <t>Count</t>
        </is>
      </c>
      <c r="G21" s="18" t="inlineStr">
        <is>
          <t>Avg Lot SF</t>
        </is>
      </c>
      <c r="M21" s="18" t="inlineStr">
        <is>
          <t>Avg Living SF</t>
        </is>
      </c>
      <c r="N21" s="18" t="inlineStr">
        <is>
          <t>Avg Beds</t>
        </is>
      </c>
      <c r="Q21" s="18" t="inlineStr">
        <is>
          <t>Avg Baths</t>
        </is>
      </c>
      <c r="U21" s="18" t="inlineStr">
        <is>
          <t>Avg Sale Price</t>
        </is>
      </c>
      <c r="X21" s="18" t="inlineStr">
        <is>
          <t>Avg DOM</t>
        </is>
      </c>
      <c r="AB21" s="18" t="inlineStr">
        <is>
          <t>Avg $/SF</t>
        </is>
      </c>
    </row>
    <row r="22" ht="16" customHeight="1">
      <c r="D22" s="19">
        <f>COUNTA(D5:D19)</f>
        <v/>
      </c>
      <c r="G22" s="19">
        <f>IFERROR(AVERAGE(G5:G19),"")</f>
        <v/>
      </c>
      <c r="M22" s="19">
        <f>IFERROR(AVERAGE(M5:M19),"")</f>
        <v/>
      </c>
      <c r="N22" s="19">
        <f>IFERROR(AVERAGE(N5:N19),"")</f>
        <v/>
      </c>
      <c r="Q22" s="19">
        <f>IFERROR(AVERAGE(Q5:Q19),"")</f>
        <v/>
      </c>
      <c r="U22" s="19">
        <f>IFERROR(AVERAGE(U5:U19),"")</f>
        <v/>
      </c>
      <c r="X22" s="19">
        <f>IFERROR(AVERAGE(X5:X19),"")</f>
        <v/>
      </c>
      <c r="AB22" s="19">
        <f>IFERROR(AVERAGE(AB5:AB19),"")</f>
        <v/>
      </c>
    </row>
  </sheetData>
  <mergeCells count="8">
    <mergeCell ref="G3:K3"/>
    <mergeCell ref="A1:AC1"/>
    <mergeCell ref="U3:X3"/>
    <mergeCell ref="AB3:AG3"/>
    <mergeCell ref="A21:C21"/>
    <mergeCell ref="A3:F3"/>
    <mergeCell ref="L3:T3"/>
    <mergeCell ref="Y3:A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 ht="26" customHeight="1">
      <c r="A1" s="1" t="inlineStr">
        <is>
          <t>DEAL ASSUMPTIONS</t>
        </is>
      </c>
    </row>
    <row r="3" ht="16" customHeight="1">
      <c r="A3" s="20" t="inlineStr">
        <is>
          <t>DEAL IDENTIFICATION</t>
        </is>
      </c>
    </row>
    <row r="4" ht="14" customHeight="1">
      <c r="A4" s="21" t="inlineStr">
        <is>
          <t>Deal Name</t>
        </is>
      </c>
      <c r="B4" s="22" t="n"/>
      <c r="C4" s="23" t="inlineStr">
        <is>
          <t>← INPUT</t>
        </is>
      </c>
    </row>
    <row r="5" ht="14" customHeight="1">
      <c r="A5" s="21" t="inlineStr">
        <is>
          <t>Division</t>
        </is>
      </c>
      <c r="B5" s="22" t="n"/>
      <c r="C5" s="23" t="inlineStr">
        <is>
          <t>← INPUT</t>
        </is>
      </c>
    </row>
    <row r="6" ht="14" customHeight="1">
      <c r="A6" s="21" t="inlineStr">
        <is>
          <t>Market / Submarket</t>
        </is>
      </c>
      <c r="B6" s="22" t="n"/>
      <c r="C6" s="23" t="inlineStr">
        <is>
          <t>← INPUT</t>
        </is>
      </c>
    </row>
    <row r="7" ht="14" customHeight="1">
      <c r="A7" s="21" t="inlineStr">
        <is>
          <t>Analyst</t>
        </is>
      </c>
      <c r="B7" s="22" t="n"/>
      <c r="C7" s="23" t="inlineStr">
        <is>
          <t>← INPUT</t>
        </is>
      </c>
    </row>
    <row r="8" ht="14" customHeight="1">
      <c r="A8" s="21" t="inlineStr">
        <is>
          <t>Date</t>
        </is>
      </c>
      <c r="B8" s="22" t="n"/>
      <c r="C8" s="23" t="inlineStr">
        <is>
          <t>← INPUT</t>
        </is>
      </c>
    </row>
    <row r="9" ht="14" customHeight="1">
      <c r="A9" s="21" t="inlineStr">
        <is>
          <t>Deal Stage</t>
        </is>
      </c>
      <c r="B9" s="22" t="n"/>
      <c r="C9" s="23" t="inlineStr">
        <is>
          <t>← INPUT</t>
        </is>
      </c>
    </row>
    <row r="11" ht="16" customHeight="1">
      <c r="A11" s="20" t="inlineStr">
        <is>
          <t>LAND</t>
        </is>
      </c>
    </row>
    <row r="12" ht="14" customHeight="1">
      <c r="A12" s="21" t="inlineStr">
        <is>
          <t>Gross Acres</t>
        </is>
      </c>
      <c r="B12" s="22" t="n"/>
      <c r="C12" s="23" t="inlineStr">
        <is>
          <t>← INPUT</t>
        </is>
      </c>
    </row>
    <row r="13" ht="14" customHeight="1">
      <c r="A13" s="21" t="inlineStr">
        <is>
          <t>Net Developable Acres</t>
        </is>
      </c>
      <c r="B13" s="22" t="n"/>
      <c r="C13" s="23" t="inlineStr">
        <is>
          <t>← INPUT</t>
        </is>
      </c>
    </row>
    <row r="14" ht="14" customHeight="1">
      <c r="A14" s="21" t="inlineStr">
        <is>
          <t>Total Home Sites</t>
        </is>
      </c>
      <c r="B14" s="22" t="n"/>
      <c r="C14" s="23" t="inlineStr">
        <is>
          <t>← INPUT</t>
        </is>
      </c>
    </row>
    <row r="15" ht="14" customHeight="1">
      <c r="A15" s="21" t="inlineStr">
        <is>
          <t>Land Purchase Price ($)</t>
        </is>
      </c>
      <c r="B15" s="22" t="n"/>
      <c r="C15" s="23" t="inlineStr">
        <is>
          <t>← INPUT</t>
        </is>
      </c>
    </row>
    <row r="16" ht="14" customHeight="1">
      <c r="A16" s="21" t="inlineStr">
        <is>
          <t>Land Price Per Home Site ($)</t>
        </is>
      </c>
      <c r="B16" s="24">
        <f>IF(B17&gt;0,B16/B17,"")</f>
        <v/>
      </c>
      <c r="C16" s="23" t="inlineStr">
        <is>
          <t>← FORMULA</t>
        </is>
      </c>
    </row>
    <row r="17" ht="14" customHeight="1">
      <c r="A17" s="21" t="inlineStr">
        <is>
          <t>Closing Tranche Count</t>
        </is>
      </c>
      <c r="B17" s="22" t="n"/>
      <c r="C17" s="23" t="inlineStr">
        <is>
          <t>← INPUT</t>
        </is>
      </c>
    </row>
    <row r="18" ht="14" customHeight="1">
      <c r="A18" s="21" t="inlineStr">
        <is>
          <t>Closing Timeline (months)</t>
        </is>
      </c>
      <c r="B18" s="22" t="n"/>
      <c r="C18" s="23" t="inlineStr">
        <is>
          <t>← INPUT</t>
        </is>
      </c>
    </row>
    <row r="20" ht="16" customHeight="1">
      <c r="A20" s="20" t="inlineStr">
        <is>
          <t>PRODUCT MIX</t>
        </is>
      </c>
    </row>
    <row r="21" ht="14" customHeight="1">
      <c r="A21" s="21" t="inlineStr">
        <is>
          <t>Primary Product Type</t>
        </is>
      </c>
      <c r="B21" s="22" t="n"/>
      <c r="C21" s="23" t="inlineStr">
        <is>
          <t>← INPUT</t>
        </is>
      </c>
    </row>
    <row r="22" ht="14" customHeight="1">
      <c r="A22" s="21" t="inlineStr">
        <is>
          <t>Avg Home Site Size (SF)</t>
        </is>
      </c>
      <c r="B22" s="22" t="n"/>
      <c r="C22" s="23" t="inlineStr">
        <is>
          <t>← INPUT</t>
        </is>
      </c>
    </row>
    <row r="23" ht="14" customHeight="1">
      <c r="A23" s="21" t="inlineStr">
        <is>
          <t>Min Home Site Size (SF)</t>
        </is>
      </c>
      <c r="B23" s="22" t="n"/>
      <c r="C23" s="23" t="inlineStr">
        <is>
          <t>← INPUT</t>
        </is>
      </c>
    </row>
    <row r="24" ht="14" customHeight="1">
      <c r="A24" s="21" t="inlineStr">
        <is>
          <t>Max Home Site Size (SF)</t>
        </is>
      </c>
      <c r="B24" s="22" t="n"/>
      <c r="C24" s="23" t="inlineStr">
        <is>
          <t>← INPUT</t>
        </is>
      </c>
    </row>
    <row r="25" ht="14" customHeight="1">
      <c r="A25" s="21" t="inlineStr">
        <is>
          <t>Avg Living Area (SF)</t>
        </is>
      </c>
      <c r="B25" s="22" t="n"/>
      <c r="C25" s="23" t="inlineStr">
        <is>
          <t>← INPUT</t>
        </is>
      </c>
    </row>
    <row r="26" ht="14" customHeight="1">
      <c r="A26" s="21" t="inlineStr">
        <is>
          <t>Typical Bedroom Count</t>
        </is>
      </c>
      <c r="B26" s="22" t="n"/>
      <c r="C26" s="23" t="inlineStr">
        <is>
          <t>← INPUT</t>
        </is>
      </c>
    </row>
    <row r="28" ht="16" customHeight="1">
      <c r="A28" s="20" t="inlineStr">
        <is>
          <t>REVENUE</t>
        </is>
      </c>
    </row>
    <row r="29" ht="14" customHeight="1">
      <c r="A29" s="21" t="inlineStr">
        <is>
          <t>Base ASP ($)</t>
        </is>
      </c>
      <c r="B29" s="22" t="n"/>
      <c r="C29" s="23" t="inlineStr">
        <is>
          <t>← INPUT</t>
        </is>
      </c>
    </row>
    <row r="30" ht="14" customHeight="1">
      <c r="A30" s="21" t="inlineStr">
        <is>
          <t>ASP Escalation Rate (%/yr)</t>
        </is>
      </c>
      <c r="B30" s="22" t="n"/>
      <c r="C30" s="23" t="inlineStr">
        <is>
          <t>← INPUT</t>
        </is>
      </c>
    </row>
    <row r="31" ht="14" customHeight="1">
      <c r="A31" s="21" t="inlineStr">
        <is>
          <t>Premium Revenue Per Home ($)</t>
        </is>
      </c>
      <c r="B31" s="22" t="n"/>
      <c r="C31" s="23" t="inlineStr">
        <is>
          <t>← INPUT</t>
        </is>
      </c>
    </row>
    <row r="32" ht="14" customHeight="1">
      <c r="A32" s="21" t="inlineStr">
        <is>
          <t>Total Revenue (est. $)</t>
        </is>
      </c>
      <c r="B32" s="24">
        <f>IF(AND(B17&gt;0,B28&gt;0),B17*(B28+B30),"")</f>
        <v/>
      </c>
      <c r="C32" s="23" t="inlineStr">
        <is>
          <t>← FORMULA</t>
        </is>
      </c>
    </row>
    <row r="34" ht="16" customHeight="1">
      <c r="A34" s="20" t="inlineStr">
        <is>
          <t>PACE &amp; TIMING</t>
        </is>
      </c>
    </row>
    <row r="35" ht="14" customHeight="1">
      <c r="A35" s="21" t="inlineStr">
        <is>
          <t>Target Sales Pace (homes/mo)</t>
        </is>
      </c>
      <c r="B35" s="22" t="n"/>
      <c r="C35" s="23" t="inlineStr">
        <is>
          <t>← INPUT</t>
        </is>
      </c>
    </row>
    <row r="36" ht="14" customHeight="1">
      <c r="A36" s="21" t="inlineStr">
        <is>
          <t>Est. Community Open Date</t>
        </is>
      </c>
      <c r="B36" s="22" t="n"/>
      <c r="C36" s="23" t="inlineStr">
        <is>
          <t>← INPUT</t>
        </is>
      </c>
    </row>
    <row r="37" ht="14" customHeight="1">
      <c r="A37" s="21" t="inlineStr">
        <is>
          <t>Est. First Close Date</t>
        </is>
      </c>
      <c r="B37" s="22" t="n"/>
      <c r="C37" s="23" t="inlineStr">
        <is>
          <t>← INPUT</t>
        </is>
      </c>
    </row>
    <row r="38" ht="14" customHeight="1">
      <c r="A38" s="21" t="inlineStr">
        <is>
          <t>Est. Community Close-Out</t>
        </is>
      </c>
      <c r="B38" s="22" t="n"/>
      <c r="C38" s="23" t="inlineStr">
        <is>
          <t>← INPUT</t>
        </is>
      </c>
    </row>
    <row r="39" ht="14" customHeight="1">
      <c r="A39" s="21" t="inlineStr">
        <is>
          <t>Model Home Count</t>
        </is>
      </c>
      <c r="B39" s="22" t="n"/>
      <c r="C39" s="23" t="inlineStr">
        <is>
          <t>← INPUT</t>
        </is>
      </c>
    </row>
    <row r="43">
      <c r="A43" s="25" t="inlineStr">
        <is>
          <t>Color Legend:</t>
        </is>
      </c>
      <c r="B43" s="26" t="inlineStr">
        <is>
          <t>Blue text = hardcoded input</t>
        </is>
      </c>
    </row>
    <row r="44">
      <c r="B44" s="27" t="inlineStr">
        <is>
          <t>Black text = formula / calculated</t>
        </is>
      </c>
    </row>
  </sheetData>
  <mergeCells count="6">
    <mergeCell ref="A11:F11"/>
    <mergeCell ref="A28:F28"/>
    <mergeCell ref="A1:F1"/>
    <mergeCell ref="A34:F34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20" customWidth="1" min="4" max="4"/>
    <col width="30" customWidth="1" min="5" max="5"/>
    <col width="22" customWidth="1" min="6" max="6"/>
    <col width="10" customWidth="1" min="7" max="7"/>
  </cols>
  <sheetData>
    <row r="1" ht="22" customHeight="1">
      <c r="A1" s="28" t="inlineStr">
        <is>
          <t>NORMALIZATION MAPPING LOG — Auto-populated by /normalize skill</t>
        </is>
      </c>
    </row>
    <row r="3" ht="20" customHeight="1">
      <c r="A3" s="14" t="inlineStr">
        <is>
          <t>Source Field Name</t>
        </is>
      </c>
      <c r="B3" s="14" t="inlineStr">
        <is>
          <t>Lennar Schema Field</t>
        </is>
      </c>
      <c r="C3" s="14" t="inlineStr">
        <is>
          <t>Confidence</t>
        </is>
      </c>
      <c r="D3" s="14" t="inlineStr">
        <is>
          <t>Mapping Basis</t>
        </is>
      </c>
      <c r="E3" s="14" t="inlineStr">
        <is>
          <t>Notes</t>
        </is>
      </c>
      <c r="F3" s="14" t="inlineStr">
        <is>
          <t>Analyst Override</t>
        </is>
      </c>
      <c r="G3" s="14" t="inlineStr">
        <is>
          <t>Approved?</t>
        </is>
      </c>
    </row>
    <row r="4" ht="14" customHeight="1">
      <c r="A4" s="29" t="inlineStr"/>
      <c r="B4" s="29" t="inlineStr"/>
      <c r="C4" s="29" t="inlineStr"/>
      <c r="D4" s="29" t="inlineStr"/>
      <c r="E4" s="29" t="inlineStr"/>
      <c r="F4" s="29" t="inlineStr"/>
      <c r="G4" s="29" t="inlineStr"/>
    </row>
    <row r="5" ht="14" customHeight="1">
      <c r="A5" s="30" t="inlineStr"/>
      <c r="B5" s="30" t="inlineStr"/>
      <c r="C5" s="30" t="inlineStr"/>
      <c r="D5" s="30" t="inlineStr"/>
      <c r="E5" s="30" t="inlineStr"/>
      <c r="F5" s="30" t="inlineStr"/>
      <c r="G5" s="30" t="inlineStr"/>
    </row>
    <row r="6" ht="14" customHeight="1">
      <c r="A6" s="29" t="inlineStr"/>
      <c r="B6" s="29" t="inlineStr"/>
      <c r="C6" s="29" t="inlineStr"/>
      <c r="D6" s="29" t="inlineStr"/>
      <c r="E6" s="29" t="inlineStr"/>
      <c r="F6" s="29" t="inlineStr"/>
      <c r="G6" s="29" t="inlineStr"/>
    </row>
    <row r="7" ht="14" customHeight="1">
      <c r="A7" s="30" t="inlineStr"/>
      <c r="B7" s="30" t="inlineStr"/>
      <c r="C7" s="30" t="inlineStr"/>
      <c r="D7" s="30" t="inlineStr"/>
      <c r="E7" s="30" t="inlineStr"/>
      <c r="F7" s="30" t="inlineStr"/>
      <c r="G7" s="30" t="inlineStr"/>
    </row>
    <row r="8" ht="14" customHeight="1">
      <c r="A8" s="29" t="inlineStr"/>
      <c r="B8" s="29" t="inlineStr"/>
      <c r="C8" s="29" t="inlineStr"/>
      <c r="D8" s="29" t="inlineStr"/>
      <c r="E8" s="29" t="inlineStr"/>
      <c r="F8" s="29" t="inlineStr"/>
      <c r="G8" s="29" t="inlineStr"/>
    </row>
    <row r="9" ht="14" customHeight="1">
      <c r="A9" s="30" t="inlineStr"/>
      <c r="B9" s="30" t="inlineStr"/>
      <c r="C9" s="30" t="inlineStr"/>
      <c r="D9" s="30" t="inlineStr"/>
      <c r="E9" s="30" t="inlineStr"/>
      <c r="F9" s="30" t="inlineStr"/>
      <c r="G9" s="30" t="inlineStr"/>
    </row>
    <row r="10" ht="14" customHeight="1">
      <c r="A10" s="29" t="inlineStr"/>
      <c r="B10" s="29" t="inlineStr"/>
      <c r="C10" s="29" t="inlineStr"/>
      <c r="D10" s="29" t="inlineStr"/>
      <c r="E10" s="29" t="inlineStr"/>
      <c r="F10" s="29" t="inlineStr"/>
      <c r="G10" s="29" t="inlineStr"/>
    </row>
    <row r="11" ht="14" customHeight="1">
      <c r="A11" s="30" t="inlineStr"/>
      <c r="B11" s="30" t="inlineStr"/>
      <c r="C11" s="30" t="inlineStr"/>
      <c r="D11" s="30" t="inlineStr"/>
      <c r="E11" s="30" t="inlineStr"/>
      <c r="F11" s="30" t="inlineStr"/>
      <c r="G11" s="30" t="inlineStr"/>
    </row>
    <row r="12" ht="14" customHeight="1">
      <c r="A12" s="29" t="inlineStr"/>
      <c r="B12" s="29" t="inlineStr"/>
      <c r="C12" s="29" t="inlineStr"/>
      <c r="D12" s="29" t="inlineStr"/>
      <c r="E12" s="29" t="inlineStr"/>
      <c r="F12" s="29" t="inlineStr"/>
      <c r="G12" s="29" t="inlineStr"/>
    </row>
    <row r="13" ht="14" customHeight="1">
      <c r="A13" s="30" t="inlineStr"/>
      <c r="B13" s="30" t="inlineStr"/>
      <c r="C13" s="30" t="inlineStr"/>
      <c r="D13" s="30" t="inlineStr"/>
      <c r="E13" s="30" t="inlineStr"/>
      <c r="F13" s="30" t="inlineStr"/>
      <c r="G13" s="30" t="inlineStr"/>
    </row>
    <row r="14" ht="14" customHeight="1">
      <c r="A14" s="29" t="inlineStr"/>
      <c r="B14" s="29" t="inlineStr"/>
      <c r="C14" s="29" t="inlineStr"/>
      <c r="D14" s="29" t="inlineStr"/>
      <c r="E14" s="29" t="inlineStr"/>
      <c r="F14" s="29" t="inlineStr"/>
      <c r="G14" s="29" t="inlineStr"/>
    </row>
    <row r="15" ht="14" customHeight="1">
      <c r="A15" s="30" t="inlineStr"/>
      <c r="B15" s="30" t="inlineStr"/>
      <c r="C15" s="30" t="inlineStr"/>
      <c r="D15" s="30" t="inlineStr"/>
      <c r="E15" s="30" t="inlineStr"/>
      <c r="F15" s="30" t="inlineStr"/>
      <c r="G15" s="30" t="inlineStr"/>
    </row>
    <row r="16" ht="14" customHeight="1">
      <c r="A16" s="29" t="inlineStr"/>
      <c r="B16" s="29" t="inlineStr"/>
      <c r="C16" s="29" t="inlineStr"/>
      <c r="D16" s="29" t="inlineStr"/>
      <c r="E16" s="29" t="inlineStr"/>
      <c r="F16" s="29" t="inlineStr"/>
      <c r="G16" s="29" t="inlineStr"/>
    </row>
    <row r="17" ht="14" customHeight="1">
      <c r="A17" s="30" t="inlineStr"/>
      <c r="B17" s="30" t="inlineStr"/>
      <c r="C17" s="30" t="inlineStr"/>
      <c r="D17" s="30" t="inlineStr"/>
      <c r="E17" s="30" t="inlineStr"/>
      <c r="F17" s="30" t="inlineStr"/>
      <c r="G17" s="30" t="inlineStr"/>
    </row>
    <row r="18" ht="14" customHeight="1">
      <c r="A18" s="29" t="inlineStr"/>
      <c r="B18" s="29" t="inlineStr"/>
      <c r="C18" s="29" t="inlineStr"/>
      <c r="D18" s="29" t="inlineStr"/>
      <c r="E18" s="29" t="inlineStr"/>
      <c r="F18" s="29" t="inlineStr"/>
      <c r="G18" s="29" t="inlineStr"/>
    </row>
    <row r="19" ht="14" customHeight="1">
      <c r="A19" s="30" t="inlineStr"/>
      <c r="B19" s="30" t="inlineStr"/>
      <c r="C19" s="30" t="inlineStr"/>
      <c r="D19" s="30" t="inlineStr"/>
      <c r="E19" s="30" t="inlineStr"/>
      <c r="F19" s="30" t="inlineStr"/>
      <c r="G19" s="30" t="inlineStr"/>
    </row>
    <row r="20" ht="14" customHeight="1">
      <c r="A20" s="29" t="inlineStr"/>
      <c r="B20" s="29" t="inlineStr"/>
      <c r="C20" s="29" t="inlineStr"/>
      <c r="D20" s="29" t="inlineStr"/>
      <c r="E20" s="29" t="inlineStr"/>
      <c r="F20" s="29" t="inlineStr"/>
      <c r="G20" s="29" t="inlineStr"/>
    </row>
    <row r="21" ht="14" customHeight="1">
      <c r="A21" s="30" t="inlineStr"/>
      <c r="B21" s="30" t="inlineStr"/>
      <c r="C21" s="30" t="inlineStr"/>
      <c r="D21" s="30" t="inlineStr"/>
      <c r="E21" s="30" t="inlineStr"/>
      <c r="F21" s="30" t="inlineStr"/>
      <c r="G21" s="30" t="inlineStr"/>
    </row>
    <row r="22" ht="14" customHeight="1">
      <c r="A22" s="29" t="inlineStr"/>
      <c r="B22" s="29" t="inlineStr"/>
      <c r="C22" s="29" t="inlineStr"/>
      <c r="D22" s="29" t="inlineStr"/>
      <c r="E22" s="29" t="inlineStr"/>
      <c r="F22" s="29" t="inlineStr"/>
      <c r="G22" s="29" t="inlineStr"/>
    </row>
    <row r="23" ht="14" customHeight="1">
      <c r="A23" s="30" t="inlineStr"/>
      <c r="B23" s="30" t="inlineStr"/>
      <c r="C23" s="30" t="inlineStr"/>
      <c r="D23" s="30" t="inlineStr"/>
      <c r="E23" s="30" t="inlineStr"/>
      <c r="F23" s="30" t="inlineStr"/>
      <c r="G23" s="30" t="inlineStr"/>
    </row>
    <row r="24" ht="14" customHeight="1">
      <c r="A24" s="29" t="inlineStr"/>
      <c r="B24" s="29" t="inlineStr"/>
      <c r="C24" s="29" t="inlineStr"/>
      <c r="D24" s="29" t="inlineStr"/>
      <c r="E24" s="29" t="inlineStr"/>
      <c r="F24" s="29" t="inlineStr"/>
      <c r="G24" s="29" t="inlineStr"/>
    </row>
    <row r="25" ht="14" customHeight="1">
      <c r="A25" s="30" t="inlineStr"/>
      <c r="B25" s="30" t="inlineStr"/>
      <c r="C25" s="30" t="inlineStr"/>
      <c r="D25" s="30" t="inlineStr"/>
      <c r="E25" s="30" t="inlineStr"/>
      <c r="F25" s="30" t="inlineStr"/>
      <c r="G25" s="30" t="inlineStr"/>
    </row>
    <row r="26" ht="14" customHeight="1">
      <c r="A26" s="29" t="inlineStr"/>
      <c r="B26" s="29" t="inlineStr"/>
      <c r="C26" s="29" t="inlineStr"/>
      <c r="D26" s="29" t="inlineStr"/>
      <c r="E26" s="29" t="inlineStr"/>
      <c r="F26" s="29" t="inlineStr"/>
      <c r="G26" s="29" t="inlineStr"/>
    </row>
    <row r="27" ht="14" customHeight="1">
      <c r="A27" s="30" t="inlineStr"/>
      <c r="B27" s="30" t="inlineStr"/>
      <c r="C27" s="30" t="inlineStr"/>
      <c r="D27" s="30" t="inlineStr"/>
      <c r="E27" s="30" t="inlineStr"/>
      <c r="F27" s="30" t="inlineStr"/>
      <c r="G27" s="30" t="inlineStr"/>
    </row>
    <row r="28" ht="14" customHeight="1">
      <c r="A28" s="29" t="inlineStr"/>
      <c r="B28" s="29" t="inlineStr"/>
      <c r="C28" s="29" t="inlineStr"/>
      <c r="D28" s="29" t="inlineStr"/>
      <c r="E28" s="29" t="inlineStr"/>
      <c r="F28" s="29" t="inlineStr"/>
      <c r="G28" s="29" t="inlineStr"/>
    </row>
    <row r="29" ht="14" customHeight="1">
      <c r="A29" s="30" t="inlineStr"/>
      <c r="B29" s="30" t="inlineStr"/>
      <c r="C29" s="30" t="inlineStr"/>
      <c r="D29" s="30" t="inlineStr"/>
      <c r="E29" s="30" t="inlineStr"/>
      <c r="F29" s="30" t="inlineStr"/>
      <c r="G29" s="30" t="inlineStr"/>
    </row>
    <row r="30" ht="14" customHeight="1">
      <c r="A30" s="29" t="inlineStr"/>
      <c r="B30" s="29" t="inlineStr"/>
      <c r="C30" s="29" t="inlineStr"/>
      <c r="D30" s="29" t="inlineStr"/>
      <c r="E30" s="29" t="inlineStr"/>
      <c r="F30" s="29" t="inlineStr"/>
      <c r="G30" s="29" t="inlineStr"/>
    </row>
    <row r="31" ht="14" customHeight="1">
      <c r="A31" s="30" t="inlineStr"/>
      <c r="B31" s="30" t="inlineStr"/>
      <c r="C31" s="30" t="inlineStr"/>
      <c r="D31" s="30" t="inlineStr"/>
      <c r="E31" s="30" t="inlineStr"/>
      <c r="F31" s="30" t="inlineStr"/>
      <c r="G31" s="30" t="inlineStr"/>
    </row>
    <row r="32" ht="14" customHeight="1">
      <c r="A32" s="29" t="inlineStr"/>
      <c r="B32" s="29" t="inlineStr"/>
      <c r="C32" s="29" t="inlineStr"/>
      <c r="D32" s="29" t="inlineStr"/>
      <c r="E32" s="29" t="inlineStr"/>
      <c r="F32" s="29" t="inlineStr"/>
      <c r="G32" s="29" t="inlineStr"/>
    </row>
    <row r="33" ht="14" customHeight="1">
      <c r="A33" s="30" t="inlineStr"/>
      <c r="B33" s="30" t="inlineStr"/>
      <c r="C33" s="30" t="inlineStr"/>
      <c r="D33" s="30" t="inlineStr"/>
      <c r="E33" s="30" t="inlineStr"/>
      <c r="F33" s="30" t="inlineStr"/>
      <c r="G33" s="30" t="inlineStr"/>
    </row>
    <row r="34" ht="14" customHeight="1">
      <c r="A34" s="29" t="inlineStr"/>
      <c r="B34" s="29" t="inlineStr"/>
      <c r="C34" s="29" t="inlineStr"/>
      <c r="D34" s="29" t="inlineStr"/>
      <c r="E34" s="29" t="inlineStr"/>
      <c r="F34" s="29" t="inlineStr"/>
      <c r="G34" s="29" t="inlineStr"/>
    </row>
    <row r="35" ht="14" customHeight="1">
      <c r="A35" s="30" t="inlineStr"/>
      <c r="B35" s="30" t="inlineStr"/>
      <c r="C35" s="30" t="inlineStr"/>
      <c r="D35" s="30" t="inlineStr"/>
      <c r="E35" s="30" t="inlineStr"/>
      <c r="F35" s="30" t="inlineStr"/>
      <c r="G35" s="30" t="inlineStr"/>
    </row>
    <row r="36" ht="14" customHeight="1">
      <c r="A36" s="29" t="inlineStr"/>
      <c r="B36" s="29" t="inlineStr"/>
      <c r="C36" s="29" t="inlineStr"/>
      <c r="D36" s="29" t="inlineStr"/>
      <c r="E36" s="29" t="inlineStr"/>
      <c r="F36" s="29" t="inlineStr"/>
      <c r="G36" s="29" t="inlineStr"/>
    </row>
    <row r="37" ht="14" customHeight="1">
      <c r="A37" s="30" t="inlineStr"/>
      <c r="B37" s="30" t="inlineStr"/>
      <c r="C37" s="30" t="inlineStr"/>
      <c r="D37" s="30" t="inlineStr"/>
      <c r="E37" s="30" t="inlineStr"/>
      <c r="F37" s="30" t="inlineStr"/>
      <c r="G37" s="30" t="inlineStr"/>
    </row>
    <row r="38" ht="14" customHeight="1">
      <c r="A38" s="29" t="inlineStr"/>
      <c r="B38" s="29" t="inlineStr"/>
      <c r="C38" s="29" t="inlineStr"/>
      <c r="D38" s="29" t="inlineStr"/>
      <c r="E38" s="29" t="inlineStr"/>
      <c r="F38" s="29" t="inlineStr"/>
      <c r="G38" s="29" t="inlineStr"/>
    </row>
    <row r="39" ht="14" customHeight="1">
      <c r="A39" s="30" t="inlineStr"/>
      <c r="B39" s="30" t="inlineStr"/>
      <c r="C39" s="30" t="inlineStr"/>
      <c r="D39" s="30" t="inlineStr"/>
      <c r="E39" s="30" t="inlineStr"/>
      <c r="F39" s="30" t="inlineStr"/>
      <c r="G39" s="30" t="inlineStr"/>
    </row>
    <row r="40" ht="14" customHeight="1">
      <c r="A40" s="29" t="inlineStr"/>
      <c r="B40" s="29" t="inlineStr"/>
      <c r="C40" s="29" t="inlineStr"/>
      <c r="D40" s="29" t="inlineStr"/>
      <c r="E40" s="29" t="inlineStr"/>
      <c r="F40" s="29" t="inlineStr"/>
      <c r="G40" s="29" t="inlineStr"/>
    </row>
    <row r="41" ht="14" customHeight="1">
      <c r="A41" s="30" t="inlineStr"/>
      <c r="B41" s="30" t="inlineStr"/>
      <c r="C41" s="30" t="inlineStr"/>
      <c r="D41" s="30" t="inlineStr"/>
      <c r="E41" s="30" t="inlineStr"/>
      <c r="F41" s="30" t="inlineStr"/>
      <c r="G41" s="30" t="inlineStr"/>
    </row>
    <row r="42" ht="14" customHeight="1">
      <c r="A42" s="29" t="inlineStr"/>
      <c r="B42" s="29" t="inlineStr"/>
      <c r="C42" s="29" t="inlineStr"/>
      <c r="D42" s="29" t="inlineStr"/>
      <c r="E42" s="29" t="inlineStr"/>
      <c r="F42" s="29" t="inlineStr"/>
      <c r="G42" s="29" t="inlineStr"/>
    </row>
    <row r="43" ht="14" customHeight="1">
      <c r="A43" s="30" t="inlineStr"/>
      <c r="B43" s="30" t="inlineStr"/>
      <c r="C43" s="30" t="inlineStr"/>
      <c r="D43" s="30" t="inlineStr"/>
      <c r="E43" s="30" t="inlineStr"/>
      <c r="F43" s="30" t="inlineStr"/>
      <c r="G43" s="30" t="inlineStr"/>
    </row>
    <row r="44" ht="14" customHeight="1">
      <c r="A44" s="29" t="inlineStr"/>
      <c r="B44" s="29" t="inlineStr"/>
      <c r="C44" s="29" t="inlineStr"/>
      <c r="D44" s="29" t="inlineStr"/>
      <c r="E44" s="29" t="inlineStr"/>
      <c r="F44" s="29" t="inlineStr"/>
      <c r="G44" s="29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5" customWidth="1" min="3" max="3"/>
    <col width="10" customWidth="1" min="4" max="4"/>
    <col width="10" customWidth="1" min="5" max="5"/>
  </cols>
  <sheetData>
    <row r="1" ht="22" customHeight="1">
      <c r="A1" s="31" t="inlineStr">
        <is>
          <t>MISSING FIELDS — Fields required by Lennar model not present in source data</t>
        </is>
      </c>
    </row>
    <row r="3" ht="18" customHeight="1">
      <c r="A3" s="32" t="inlineStr">
        <is>
          <t>Lennar Field</t>
        </is>
      </c>
      <c r="B3" s="32" t="inlineStr">
        <is>
          <t>Required?</t>
        </is>
      </c>
      <c r="C3" s="32" t="inlineStr">
        <is>
          <t>Suggested Data Source</t>
        </is>
      </c>
      <c r="D3" s="32" t="inlineStr">
        <is>
          <t>Priority</t>
        </is>
      </c>
      <c r="E3" s="32" t="inlineStr">
        <is>
          <t>Resolved?</t>
        </is>
      </c>
    </row>
    <row r="4" ht="14" customHeight="1">
      <c r="A4" s="33" t="inlineStr"/>
      <c r="B4" s="33" t="inlineStr"/>
      <c r="C4" s="33" t="inlineStr"/>
      <c r="D4" s="33" t="inlineStr"/>
      <c r="E4" s="33" t="inlineStr"/>
    </row>
    <row r="5" ht="14" customHeight="1">
      <c r="A5" s="33" t="inlineStr"/>
      <c r="B5" s="33" t="inlineStr"/>
      <c r="C5" s="33" t="inlineStr"/>
      <c r="D5" s="33" t="inlineStr"/>
      <c r="E5" s="33" t="inlineStr"/>
    </row>
    <row r="6" ht="14" customHeight="1">
      <c r="A6" s="33" t="inlineStr"/>
      <c r="B6" s="33" t="inlineStr"/>
      <c r="C6" s="33" t="inlineStr"/>
      <c r="D6" s="33" t="inlineStr"/>
      <c r="E6" s="33" t="inlineStr"/>
    </row>
    <row r="7" ht="14" customHeight="1">
      <c r="A7" s="33" t="inlineStr"/>
      <c r="B7" s="33" t="inlineStr"/>
      <c r="C7" s="33" t="inlineStr"/>
      <c r="D7" s="33" t="inlineStr"/>
      <c r="E7" s="33" t="inlineStr"/>
    </row>
    <row r="8" ht="14" customHeight="1">
      <c r="A8" s="33" t="inlineStr"/>
      <c r="B8" s="33" t="inlineStr"/>
      <c r="C8" s="33" t="inlineStr"/>
      <c r="D8" s="33" t="inlineStr"/>
      <c r="E8" s="33" t="inlineStr"/>
    </row>
    <row r="9" ht="14" customHeight="1">
      <c r="A9" s="33" t="inlineStr"/>
      <c r="B9" s="33" t="inlineStr"/>
      <c r="C9" s="33" t="inlineStr"/>
      <c r="D9" s="33" t="inlineStr"/>
      <c r="E9" s="33" t="inlineStr"/>
    </row>
    <row r="10" ht="14" customHeight="1">
      <c r="A10" s="33" t="inlineStr"/>
      <c r="B10" s="33" t="inlineStr"/>
      <c r="C10" s="33" t="inlineStr"/>
      <c r="D10" s="33" t="inlineStr"/>
      <c r="E10" s="33" t="inlineStr"/>
    </row>
    <row r="11" ht="14" customHeight="1">
      <c r="A11" s="33" t="inlineStr"/>
      <c r="B11" s="33" t="inlineStr"/>
      <c r="C11" s="33" t="inlineStr"/>
      <c r="D11" s="33" t="inlineStr"/>
      <c r="E11" s="33" t="inlineStr"/>
    </row>
    <row r="12" ht="14" customHeight="1">
      <c r="A12" s="33" t="inlineStr"/>
      <c r="B12" s="33" t="inlineStr"/>
      <c r="C12" s="33" t="inlineStr"/>
      <c r="D12" s="33" t="inlineStr"/>
      <c r="E12" s="33" t="inlineStr"/>
    </row>
    <row r="13" ht="14" customHeight="1">
      <c r="A13" s="33" t="inlineStr"/>
      <c r="B13" s="33" t="inlineStr"/>
      <c r="C13" s="33" t="inlineStr"/>
      <c r="D13" s="33" t="inlineStr"/>
      <c r="E13" s="33" t="inlineStr"/>
    </row>
    <row r="14" ht="14" customHeight="1">
      <c r="A14" s="33" t="inlineStr"/>
      <c r="B14" s="33" t="inlineStr"/>
      <c r="C14" s="33" t="inlineStr"/>
      <c r="D14" s="33" t="inlineStr"/>
      <c r="E14" s="33" t="inlineStr"/>
    </row>
    <row r="15" ht="14" customHeight="1">
      <c r="A15" s="33" t="inlineStr"/>
      <c r="B15" s="33" t="inlineStr"/>
      <c r="C15" s="33" t="inlineStr"/>
      <c r="D15" s="33" t="inlineStr"/>
      <c r="E15" s="33" t="inlineStr"/>
    </row>
    <row r="16" ht="14" customHeight="1">
      <c r="A16" s="33" t="inlineStr"/>
      <c r="B16" s="33" t="inlineStr"/>
      <c r="C16" s="33" t="inlineStr"/>
      <c r="D16" s="33" t="inlineStr"/>
      <c r="E16" s="33" t="inlineStr"/>
    </row>
    <row r="17" ht="14" customHeight="1">
      <c r="A17" s="33" t="inlineStr"/>
      <c r="B17" s="33" t="inlineStr"/>
      <c r="C17" s="33" t="inlineStr"/>
      <c r="D17" s="33" t="inlineStr"/>
      <c r="E17" s="33" t="inlineStr"/>
    </row>
    <row r="18" ht="14" customHeight="1">
      <c r="A18" s="33" t="inlineStr"/>
      <c r="B18" s="33" t="inlineStr"/>
      <c r="C18" s="33" t="inlineStr"/>
      <c r="D18" s="33" t="inlineStr"/>
      <c r="E18" s="33" t="inlineStr"/>
    </row>
    <row r="19" ht="14" customHeight="1">
      <c r="A19" s="33" t="inlineStr"/>
      <c r="B19" s="33" t="inlineStr"/>
      <c r="C19" s="33" t="inlineStr"/>
      <c r="D19" s="33" t="inlineStr"/>
      <c r="E19" s="33" t="inlineStr"/>
    </row>
    <row r="20" ht="14" customHeight="1">
      <c r="A20" s="33" t="inlineStr"/>
      <c r="B20" s="33" t="inlineStr"/>
      <c r="C20" s="33" t="inlineStr"/>
      <c r="D20" s="33" t="inlineStr"/>
      <c r="E20" s="33" t="inlineStr"/>
    </row>
    <row r="21" ht="14" customHeight="1">
      <c r="A21" s="33" t="inlineStr"/>
      <c r="B21" s="33" t="inlineStr"/>
      <c r="C21" s="33" t="inlineStr"/>
      <c r="D21" s="33" t="inlineStr"/>
      <c r="E21" s="33" t="inlineStr"/>
    </row>
    <row r="22" ht="14" customHeight="1">
      <c r="A22" s="33" t="inlineStr"/>
      <c r="B22" s="33" t="inlineStr"/>
      <c r="C22" s="33" t="inlineStr"/>
      <c r="D22" s="33" t="inlineStr"/>
      <c r="E22" s="33" t="inlineStr"/>
    </row>
    <row r="23" ht="14" customHeight="1">
      <c r="A23" s="33" t="inlineStr"/>
      <c r="B23" s="33" t="inlineStr"/>
      <c r="C23" s="33" t="inlineStr"/>
      <c r="D23" s="33" t="inlineStr"/>
      <c r="E23" s="33" t="inlineStr"/>
    </row>
    <row r="24" ht="14" customHeight="1">
      <c r="A24" s="33" t="inlineStr"/>
      <c r="B24" s="33" t="inlineStr"/>
      <c r="C24" s="33" t="inlineStr"/>
      <c r="D24" s="33" t="inlineStr"/>
      <c r="E24" s="33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6" customHeight="1">
      <c r="A1" s="1" t="inlineStr">
        <is>
          <t>NORMALIZATION SUMMARY</t>
        </is>
      </c>
    </row>
    <row r="3" ht="18" customHeight="1">
      <c r="A3" s="34" t="inlineStr">
        <is>
          <t>Source File</t>
        </is>
      </c>
      <c r="B3" s="35" t="inlineStr"/>
    </row>
    <row r="4" ht="18" customHeight="1">
      <c r="A4" s="34" t="inlineStr">
        <is>
          <t>Normalization Date</t>
        </is>
      </c>
      <c r="B4" s="35" t="inlineStr"/>
    </row>
    <row r="5" ht="18" customHeight="1">
      <c r="A5" s="34" t="inlineStr">
        <is>
          <t>Total Source Records</t>
        </is>
      </c>
      <c r="B5" s="35" t="inlineStr"/>
    </row>
    <row r="6" ht="18" customHeight="1">
      <c r="A6" s="34" t="inlineStr">
        <is>
          <t>Records Normalized</t>
        </is>
      </c>
      <c r="B6" s="35" t="inlineStr"/>
    </row>
    <row r="7" ht="18" customHeight="1">
      <c r="A7" s="34" t="inlineStr">
        <is>
          <t>Records Filtered Out</t>
        </is>
      </c>
      <c r="B7" s="35" t="inlineStr"/>
    </row>
    <row r="8" ht="18" customHeight="1">
      <c r="A8" s="34" t="inlineStr">
        <is>
          <t>Fields Mapped</t>
        </is>
      </c>
      <c r="B8" s="35" t="inlineStr"/>
    </row>
    <row r="9" ht="18" customHeight="1">
      <c r="A9" s="34" t="inlineStr">
        <is>
          <t>Fields Missing</t>
        </is>
      </c>
      <c r="B9" s="35" t="inlineStr"/>
    </row>
    <row r="10" ht="18" customHeight="1">
      <c r="A10" s="34" t="inlineStr">
        <is>
          <t>High Confidence Mappings</t>
        </is>
      </c>
      <c r="B10" s="35" t="inlineStr"/>
    </row>
    <row r="11" ht="18" customHeight="1">
      <c r="A11" s="34" t="inlineStr">
        <is>
          <t>Medium Confidence Mappings</t>
        </is>
      </c>
      <c r="B11" s="35" t="inlineStr"/>
    </row>
    <row r="12" ht="18" customHeight="1">
      <c r="A12" s="34" t="inlineStr">
        <is>
          <t>Low Confidence Mappings (REVIEW)</t>
        </is>
      </c>
      <c r="B12" s="35" t="inlineStr"/>
    </row>
    <row r="13" ht="18" customHeight="1">
      <c r="A13" s="34" t="inlineStr">
        <is>
          <t>Data Quality Score</t>
        </is>
      </c>
      <c r="B13" s="35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8" customWidth="1" min="3" max="3"/>
    <col width="12" customWidth="1" min="4" max="4"/>
    <col width="11" customWidth="1" min="5" max="5"/>
    <col width="35" customWidth="1" min="6" max="6"/>
  </cols>
  <sheetData>
    <row r="1" ht="22" customHeight="1">
      <c r="A1" s="36" t="inlineStr">
        <is>
          <t>FILTERED OUT RECORDS — Records excluded from normalization</t>
        </is>
      </c>
    </row>
    <row r="3">
      <c r="A3" s="37" t="inlineStr">
        <is>
          <t>Street_Address</t>
        </is>
      </c>
      <c r="B3" s="37" t="inlineStr">
        <is>
          <t>City</t>
        </is>
      </c>
      <c r="C3" s="37" t="inlineStr">
        <is>
          <t>Zip_Code</t>
        </is>
      </c>
      <c r="D3" s="37" t="inlineStr">
        <is>
          <t>Sale_Price</t>
        </is>
      </c>
      <c r="E3" s="37" t="inlineStr">
        <is>
          <t>Sale_Date</t>
        </is>
      </c>
      <c r="F3" s="37" t="inlineStr">
        <is>
          <t>Filter_Reason</t>
        </is>
      </c>
    </row>
    <row r="4" ht="14" customHeight="1">
      <c r="A4" s="33" t="inlineStr"/>
      <c r="B4" s="33" t="inlineStr"/>
      <c r="C4" s="33" t="inlineStr"/>
      <c r="D4" s="33" t="inlineStr"/>
      <c r="E4" s="33" t="inlineStr"/>
      <c r="F4" s="33" t="inlineStr"/>
    </row>
    <row r="5" ht="14" customHeight="1">
      <c r="A5" s="33" t="inlineStr"/>
      <c r="B5" s="33" t="inlineStr"/>
      <c r="C5" s="33" t="inlineStr"/>
      <c r="D5" s="33" t="inlineStr"/>
      <c r="E5" s="33" t="inlineStr"/>
      <c r="F5" s="33" t="inlineStr"/>
    </row>
    <row r="6" ht="14" customHeight="1">
      <c r="A6" s="33" t="inlineStr"/>
      <c r="B6" s="33" t="inlineStr"/>
      <c r="C6" s="33" t="inlineStr"/>
      <c r="D6" s="33" t="inlineStr"/>
      <c r="E6" s="33" t="inlineStr"/>
      <c r="F6" s="33" t="inlineStr"/>
    </row>
    <row r="7" ht="14" customHeight="1">
      <c r="A7" s="33" t="inlineStr"/>
      <c r="B7" s="33" t="inlineStr"/>
      <c r="C7" s="33" t="inlineStr"/>
      <c r="D7" s="33" t="inlineStr"/>
      <c r="E7" s="33" t="inlineStr"/>
      <c r="F7" s="33" t="inlineStr"/>
    </row>
    <row r="8" ht="14" customHeight="1">
      <c r="A8" s="33" t="inlineStr"/>
      <c r="B8" s="33" t="inlineStr"/>
      <c r="C8" s="33" t="inlineStr"/>
      <c r="D8" s="33" t="inlineStr"/>
      <c r="E8" s="33" t="inlineStr"/>
      <c r="F8" s="33" t="inlineStr"/>
    </row>
    <row r="9" ht="14" customHeight="1">
      <c r="A9" s="33" t="inlineStr"/>
      <c r="B9" s="33" t="inlineStr"/>
      <c r="C9" s="33" t="inlineStr"/>
      <c r="D9" s="33" t="inlineStr"/>
      <c r="E9" s="33" t="inlineStr"/>
      <c r="F9" s="33" t="inlineStr"/>
    </row>
    <row r="10" ht="14" customHeight="1">
      <c r="A10" s="33" t="inlineStr"/>
      <c r="B10" s="33" t="inlineStr"/>
      <c r="C10" s="33" t="inlineStr"/>
      <c r="D10" s="33" t="inlineStr"/>
      <c r="E10" s="33" t="inlineStr"/>
      <c r="F10" s="33" t="inlineStr"/>
    </row>
    <row r="11" ht="14" customHeight="1">
      <c r="A11" s="33" t="inlineStr"/>
      <c r="B11" s="33" t="inlineStr"/>
      <c r="C11" s="33" t="inlineStr"/>
      <c r="D11" s="33" t="inlineStr"/>
      <c r="E11" s="33" t="inlineStr"/>
      <c r="F11" s="33" t="inlineStr"/>
    </row>
    <row r="12" ht="14" customHeight="1">
      <c r="A12" s="33" t="inlineStr"/>
      <c r="B12" s="33" t="inlineStr"/>
      <c r="C12" s="33" t="inlineStr"/>
      <c r="D12" s="33" t="inlineStr"/>
      <c r="E12" s="33" t="inlineStr"/>
      <c r="F12" s="33" t="inlineStr"/>
    </row>
    <row r="13" ht="14" customHeight="1">
      <c r="A13" s="33" t="inlineStr"/>
      <c r="B13" s="33" t="inlineStr"/>
      <c r="C13" s="33" t="inlineStr"/>
      <c r="D13" s="33" t="inlineStr"/>
      <c r="E13" s="33" t="inlineStr"/>
      <c r="F13" s="33" t="inlineStr"/>
    </row>
    <row r="14" ht="14" customHeight="1">
      <c r="A14" s="33" t="inlineStr"/>
      <c r="B14" s="33" t="inlineStr"/>
      <c r="C14" s="33" t="inlineStr"/>
      <c r="D14" s="33" t="inlineStr"/>
      <c r="E14" s="33" t="inlineStr"/>
      <c r="F14" s="33" t="inlineStr"/>
    </row>
    <row r="15" ht="14" customHeight="1">
      <c r="A15" s="33" t="inlineStr"/>
      <c r="B15" s="33" t="inlineStr"/>
      <c r="C15" s="33" t="inlineStr"/>
      <c r="D15" s="33" t="inlineStr"/>
      <c r="E15" s="33" t="inlineStr"/>
      <c r="F15" s="33" t="inlineStr"/>
    </row>
    <row r="16" ht="14" customHeight="1">
      <c r="A16" s="33" t="inlineStr"/>
      <c r="B16" s="33" t="inlineStr"/>
      <c r="C16" s="33" t="inlineStr"/>
      <c r="D16" s="33" t="inlineStr"/>
      <c r="E16" s="33" t="inlineStr"/>
      <c r="F16" s="33" t="inlineStr"/>
    </row>
    <row r="17" ht="14" customHeight="1">
      <c r="A17" s="33" t="inlineStr"/>
      <c r="B17" s="33" t="inlineStr"/>
      <c r="C17" s="33" t="inlineStr"/>
      <c r="D17" s="33" t="inlineStr"/>
      <c r="E17" s="33" t="inlineStr"/>
      <c r="F17" s="33" t="inlineStr"/>
    </row>
    <row r="18" ht="14" customHeight="1">
      <c r="A18" s="33" t="inlineStr"/>
      <c r="B18" s="33" t="inlineStr"/>
      <c r="C18" s="33" t="inlineStr"/>
      <c r="D18" s="33" t="inlineStr"/>
      <c r="E18" s="33" t="inlineStr"/>
      <c r="F18" s="33" t="inlineStr"/>
    </row>
    <row r="19" ht="14" customHeight="1">
      <c r="A19" s="33" t="inlineStr"/>
      <c r="B19" s="33" t="inlineStr"/>
      <c r="C19" s="33" t="inlineStr"/>
      <c r="D19" s="33" t="inlineStr"/>
      <c r="E19" s="33" t="inlineStr"/>
      <c r="F19" s="3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2026-03-23T17:48:01Z</dcterms:created>
  <dcterms:modified xmlns:dcterms="http://purl.org/dc/terms/" xmlns:xsi="http://www.w3.org/2001/XMLSchema-instance" xsi:type="dcterms:W3CDTF">2026-03-23T17:48:01Z</dcterms:modified>
</cp:coreProperties>
</file>